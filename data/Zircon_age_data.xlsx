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haleybrumberger/Desktop/Boulder/Classes/Spring 2026/Data Visualization/playground-hbrum12/data/"/>
    </mc:Choice>
  </mc:AlternateContent>
  <xr:revisionPtr revIDLastSave="0" documentId="13_ncr:1_{3FB2FEB8-F425-E741-B707-5091BBCC5AAC}" xr6:coauthVersionLast="47" xr6:coauthVersionMax="47" xr10:uidLastSave="{00000000-0000-0000-0000-000000000000}"/>
  <bookViews>
    <workbookView xWindow="0" yWindow="680" windowWidth="2326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1" l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</calcChain>
</file>

<file path=xl/sharedStrings.xml><?xml version="1.0" encoding="utf-8"?>
<sst xmlns="http://schemas.openxmlformats.org/spreadsheetml/2006/main" count="114" uniqueCount="72">
  <si>
    <t>sample</t>
  </si>
  <si>
    <t>alpha_dose</t>
  </si>
  <si>
    <t>zAB1720-1</t>
  </si>
  <si>
    <t>zAB1720-2</t>
  </si>
  <si>
    <t>zAB1720-3</t>
  </si>
  <si>
    <t>zAB1764-1</t>
  </si>
  <si>
    <t>zAB1764-2</t>
  </si>
  <si>
    <t>zAB1764-3</t>
  </si>
  <si>
    <t>zAB1765-1</t>
  </si>
  <si>
    <t>zAB1765-2</t>
  </si>
  <si>
    <t>zAB1765-3</t>
  </si>
  <si>
    <t>zAB1766-1</t>
  </si>
  <si>
    <t>zAB1766-2</t>
  </si>
  <si>
    <t>zAB1766-3</t>
  </si>
  <si>
    <t>zAB1767-1</t>
  </si>
  <si>
    <t>zAB1767-2</t>
  </si>
  <si>
    <t>zAB1767-3</t>
  </si>
  <si>
    <t>zAB1768-1</t>
  </si>
  <si>
    <t>zAB1768-2</t>
  </si>
  <si>
    <t>zAB1768-3</t>
  </si>
  <si>
    <t>zAB1769-1</t>
  </si>
  <si>
    <t>zAB1769-2</t>
  </si>
  <si>
    <t>zAB1769-3</t>
  </si>
  <si>
    <t>Th/U</t>
  </si>
  <si>
    <t>Lat</t>
  </si>
  <si>
    <t>Long</t>
  </si>
  <si>
    <t>Elevaton_m</t>
  </si>
  <si>
    <t>Age_Ma</t>
  </si>
  <si>
    <t>err</t>
  </si>
  <si>
    <t>U_ng</t>
  </si>
  <si>
    <t>Th_ug</t>
  </si>
  <si>
    <t>U_ug/g</t>
  </si>
  <si>
    <t>Th_ng</t>
  </si>
  <si>
    <t>eU</t>
  </si>
  <si>
    <t>He_nmol</t>
  </si>
  <si>
    <t>Sm_ug</t>
  </si>
  <si>
    <t>errHe</t>
  </si>
  <si>
    <t>mass</t>
  </si>
  <si>
    <t>ft</t>
  </si>
  <si>
    <t>esr</t>
  </si>
  <si>
    <t>raw_age</t>
  </si>
  <si>
    <t>errMa</t>
  </si>
  <si>
    <t>Time</t>
  </si>
  <si>
    <t>Tc_min</t>
  </si>
  <si>
    <t>Tc_max</t>
  </si>
  <si>
    <t>Tc_mean</t>
  </si>
  <si>
    <t>TH62Z1</t>
  </si>
  <si>
    <t>g1</t>
  </si>
  <si>
    <t>g2</t>
  </si>
  <si>
    <t>g3</t>
  </si>
  <si>
    <t>g4</t>
  </si>
  <si>
    <t>g5</t>
  </si>
  <si>
    <t>g6</t>
  </si>
  <si>
    <t>g7</t>
  </si>
  <si>
    <t>TH62Z2</t>
  </si>
  <si>
    <t>TH62Z3</t>
  </si>
  <si>
    <t>TH62Z4</t>
  </si>
  <si>
    <t>TH62Z5</t>
  </si>
  <si>
    <t>TH62Z6</t>
  </si>
  <si>
    <t>TH62Z7</t>
  </si>
  <si>
    <t>TH62Z8</t>
  </si>
  <si>
    <t>TH62Z9</t>
  </si>
  <si>
    <t>TH62Z10</t>
  </si>
  <si>
    <t>TH62Z11</t>
  </si>
  <si>
    <t>g8</t>
  </si>
  <si>
    <t>g9</t>
  </si>
  <si>
    <t>study</t>
  </si>
  <si>
    <t>Gerard et al. 2022</t>
  </si>
  <si>
    <t>zFCT-61 1</t>
  </si>
  <si>
    <t>zFCT-62 1</t>
  </si>
  <si>
    <t>g10</t>
  </si>
  <si>
    <t>Guenthner et al.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</si>
</sst>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GyrePagellaMathJax_Main"/>
    </font>
    <font>
      <sz val="11"/>
      <name val="Calibri"/>
      <family val="2"/>
      <scheme val="minor"/>
    </font>
    <font>
      <sz val="7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/>
    </xf>
    <xf numFmtId="11" fontId="3" fillId="0" borderId="0" xfId="0" applyNumberFormat="1" applyFont="1" applyAlignment="1">
      <alignment horizontal="right" vertical="center" wrapText="1"/>
    </xf>
    <xf numFmtId="11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5"/>
  <sheetViews>
    <sheetView tabSelected="1" workbookViewId="0">
      <selection activeCell="D40" sqref="D40"/>
    </sheetView>
  </sheetViews>
  <sheetFormatPr baseColWidth="10" defaultColWidth="8.83203125" defaultRowHeight="15"/>
  <cols>
    <col min="1" max="1" width="12" style="1" bestFit="1" customWidth="1"/>
    <col min="2" max="2" width="8.83203125" style="1"/>
    <col min="3" max="3" width="10.5" style="1" bestFit="1" customWidth="1"/>
    <col min="4" max="4" width="10.83203125" style="1" bestFit="1" customWidth="1"/>
    <col min="5" max="22" width="9" style="1" bestFit="1" customWidth="1"/>
    <col min="23" max="23" width="9.6640625" style="1" bestFit="1" customWidth="1"/>
    <col min="24" max="26" width="9" style="1" bestFit="1" customWidth="1"/>
    <col min="27" max="16384" width="8.83203125" style="1"/>
  </cols>
  <sheetData>
    <row r="1" spans="1:30">
      <c r="A1" s="4" t="s">
        <v>66</v>
      </c>
      <c r="B1" s="5" t="s">
        <v>0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31</v>
      </c>
      <c r="I1" s="5" t="s">
        <v>29</v>
      </c>
      <c r="J1" s="5" t="s">
        <v>30</v>
      </c>
      <c r="K1" s="5" t="s">
        <v>32</v>
      </c>
      <c r="L1" s="5" t="s">
        <v>35</v>
      </c>
      <c r="M1" s="5" t="s">
        <v>33</v>
      </c>
      <c r="N1" s="5" t="s">
        <v>23</v>
      </c>
      <c r="O1" s="5" t="s">
        <v>34</v>
      </c>
      <c r="P1" s="5" t="s">
        <v>36</v>
      </c>
      <c r="Q1" s="5" t="s">
        <v>37</v>
      </c>
      <c r="R1" s="5" t="s">
        <v>38</v>
      </c>
      <c r="S1" s="5" t="s">
        <v>39</v>
      </c>
      <c r="T1" s="5" t="s">
        <v>40</v>
      </c>
      <c r="U1" s="5" t="s">
        <v>41</v>
      </c>
      <c r="V1" s="5" t="s">
        <v>42</v>
      </c>
      <c r="W1" s="5" t="s">
        <v>1</v>
      </c>
      <c r="X1" s="5" t="s">
        <v>43</v>
      </c>
      <c r="Y1" s="5" t="s">
        <v>44</v>
      </c>
      <c r="Z1" s="5" t="s">
        <v>45</v>
      </c>
    </row>
    <row r="2" spans="1:30">
      <c r="A2" s="4" t="s">
        <v>67</v>
      </c>
      <c r="B2" s="2" t="s">
        <v>68</v>
      </c>
      <c r="C2" s="6"/>
      <c r="D2" s="6"/>
      <c r="E2" s="6"/>
      <c r="F2" s="6">
        <v>30.7</v>
      </c>
      <c r="G2" s="6">
        <v>2.2999999999999998</v>
      </c>
      <c r="H2" s="6">
        <v>373</v>
      </c>
      <c r="I2" s="6">
        <v>2.2999999999999998</v>
      </c>
      <c r="J2" s="6">
        <v>191.9</v>
      </c>
      <c r="K2" s="6">
        <v>1.2</v>
      </c>
      <c r="L2" s="6">
        <v>0</v>
      </c>
      <c r="M2" s="6">
        <v>417.1</v>
      </c>
      <c r="N2" s="6">
        <v>0.5</v>
      </c>
      <c r="O2" s="6">
        <v>53</v>
      </c>
      <c r="P2" s="6">
        <v>4.2</v>
      </c>
      <c r="Q2" s="6">
        <v>6.1</v>
      </c>
      <c r="R2" s="6">
        <v>0.8</v>
      </c>
      <c r="S2" s="6">
        <v>49.8</v>
      </c>
      <c r="T2" s="6">
        <v>23.5</v>
      </c>
      <c r="U2" s="6">
        <v>1.7</v>
      </c>
      <c r="V2" s="7"/>
      <c r="W2" s="7"/>
      <c r="X2" s="7"/>
      <c r="Y2" s="7"/>
      <c r="Z2" s="7"/>
    </row>
    <row r="3" spans="1:30">
      <c r="A3" s="4" t="s">
        <v>67</v>
      </c>
      <c r="B3" s="2" t="s">
        <v>69</v>
      </c>
      <c r="C3" s="6"/>
      <c r="D3" s="6"/>
      <c r="E3" s="6"/>
      <c r="F3" s="6">
        <v>29.8</v>
      </c>
      <c r="G3" s="6">
        <v>2.2000000000000002</v>
      </c>
      <c r="H3" s="6">
        <v>315.3</v>
      </c>
      <c r="I3" s="6">
        <v>1.9</v>
      </c>
      <c r="J3" s="6">
        <v>168.2</v>
      </c>
      <c r="K3" s="6">
        <v>1</v>
      </c>
      <c r="L3" s="6">
        <v>0</v>
      </c>
      <c r="M3" s="6">
        <v>354</v>
      </c>
      <c r="N3" s="6">
        <v>0.5</v>
      </c>
      <c r="O3" s="6">
        <v>44</v>
      </c>
      <c r="P3" s="6">
        <v>3.5</v>
      </c>
      <c r="Q3" s="6">
        <v>6.2</v>
      </c>
      <c r="R3" s="6">
        <v>0.8</v>
      </c>
      <c r="S3" s="6">
        <v>51.5</v>
      </c>
      <c r="T3" s="6">
        <v>23</v>
      </c>
      <c r="U3" s="6">
        <v>1.7</v>
      </c>
      <c r="V3" s="7"/>
      <c r="W3" s="7"/>
      <c r="X3" s="7"/>
      <c r="Y3" s="7"/>
      <c r="Z3" s="7"/>
    </row>
    <row r="4" spans="1:30">
      <c r="A4" s="4" t="s">
        <v>67</v>
      </c>
      <c r="B4" s="2" t="s">
        <v>2</v>
      </c>
      <c r="C4" s="6">
        <v>13.141819999999999</v>
      </c>
      <c r="D4" s="6">
        <v>72.583759999999998</v>
      </c>
      <c r="E4" s="6">
        <v>1610</v>
      </c>
      <c r="F4" s="6">
        <v>25.8</v>
      </c>
      <c r="G4" s="6">
        <v>1.9</v>
      </c>
      <c r="H4" s="6">
        <v>470.4</v>
      </c>
      <c r="I4" s="6">
        <v>4.5</v>
      </c>
      <c r="J4" s="6">
        <v>400.7</v>
      </c>
      <c r="K4" s="6">
        <v>3.8</v>
      </c>
      <c r="L4" s="6">
        <v>0</v>
      </c>
      <c r="M4" s="6">
        <v>562.6</v>
      </c>
      <c r="N4" s="6">
        <v>0.9</v>
      </c>
      <c r="O4" s="6">
        <v>62.2</v>
      </c>
      <c r="P4" s="6">
        <v>5</v>
      </c>
      <c r="Q4" s="6">
        <v>9.6</v>
      </c>
      <c r="R4" s="6">
        <v>0.8</v>
      </c>
      <c r="S4" s="6">
        <v>57.2</v>
      </c>
      <c r="T4" s="6">
        <v>20.399999999999999</v>
      </c>
      <c r="U4" s="6">
        <v>1.5</v>
      </c>
      <c r="V4" s="7"/>
      <c r="W4" s="7"/>
      <c r="X4" s="7"/>
      <c r="Y4" s="7"/>
      <c r="Z4" s="7"/>
    </row>
    <row r="5" spans="1:30">
      <c r="A5" s="4" t="s">
        <v>67</v>
      </c>
      <c r="B5" s="2" t="s">
        <v>3</v>
      </c>
      <c r="C5" s="6">
        <v>13.141819999999999</v>
      </c>
      <c r="D5" s="6">
        <v>72.583759999999998</v>
      </c>
      <c r="E5" s="6">
        <v>1610</v>
      </c>
      <c r="F5" s="6">
        <v>1.5</v>
      </c>
      <c r="G5" s="6">
        <v>0.1</v>
      </c>
      <c r="H5" s="6">
        <v>403.1</v>
      </c>
      <c r="I5" s="6">
        <v>4.8</v>
      </c>
      <c r="J5" s="6">
        <v>32.299999999999997</v>
      </c>
      <c r="K5" s="6">
        <v>0.4</v>
      </c>
      <c r="L5" s="6">
        <v>0</v>
      </c>
      <c r="M5" s="6">
        <v>410.5</v>
      </c>
      <c r="N5" s="6">
        <v>0.1</v>
      </c>
      <c r="O5" s="6">
        <v>2.8</v>
      </c>
      <c r="P5" s="6">
        <v>0.2</v>
      </c>
      <c r="Q5" s="6">
        <v>11.9</v>
      </c>
      <c r="R5" s="6">
        <v>0.8</v>
      </c>
      <c r="S5" s="6">
        <v>62.5</v>
      </c>
      <c r="T5" s="6">
        <v>1.3</v>
      </c>
      <c r="U5" s="6">
        <v>0.1</v>
      </c>
      <c r="V5" s="6">
        <v>5</v>
      </c>
      <c r="W5" s="8">
        <v>6.7E+16</v>
      </c>
      <c r="X5" s="6">
        <v>50</v>
      </c>
      <c r="Y5" s="6">
        <v>100</v>
      </c>
      <c r="Z5" s="6">
        <f>(X5+Y5)/2</f>
        <v>75</v>
      </c>
      <c r="AA5" s="2"/>
      <c r="AB5" s="2"/>
      <c r="AC5" s="3"/>
      <c r="AD5" s="2"/>
    </row>
    <row r="6" spans="1:30">
      <c r="A6" s="4" t="s">
        <v>67</v>
      </c>
      <c r="B6" s="2" t="s">
        <v>4</v>
      </c>
      <c r="C6" s="6">
        <v>13.141819999999999</v>
      </c>
      <c r="D6" s="6">
        <v>72.583759999999998</v>
      </c>
      <c r="E6" s="6">
        <v>1610</v>
      </c>
      <c r="F6" s="6">
        <v>26.8</v>
      </c>
      <c r="G6" s="6">
        <v>2</v>
      </c>
      <c r="H6" s="6">
        <v>452.7</v>
      </c>
      <c r="I6" s="6">
        <v>5</v>
      </c>
      <c r="J6" s="6">
        <v>332.8</v>
      </c>
      <c r="K6" s="6">
        <v>3.6</v>
      </c>
      <c r="L6" s="6">
        <v>0</v>
      </c>
      <c r="M6" s="6">
        <v>529.29999999999995</v>
      </c>
      <c r="N6" s="6">
        <v>0.7</v>
      </c>
      <c r="O6" s="6">
        <v>61.7</v>
      </c>
      <c r="P6" s="6">
        <v>4.9000000000000004</v>
      </c>
      <c r="Q6" s="6">
        <v>11</v>
      </c>
      <c r="R6" s="6">
        <v>0.8</v>
      </c>
      <c r="S6" s="6">
        <v>61.4</v>
      </c>
      <c r="T6" s="6">
        <v>21.5</v>
      </c>
      <c r="U6" s="6">
        <v>1.6</v>
      </c>
      <c r="V6" s="7"/>
      <c r="W6" s="7"/>
      <c r="X6" s="7"/>
      <c r="Y6" s="7"/>
      <c r="Z6" s="6"/>
    </row>
    <row r="7" spans="1:30">
      <c r="A7" s="4" t="s">
        <v>67</v>
      </c>
      <c r="B7" s="2" t="s">
        <v>5</v>
      </c>
      <c r="C7" s="6">
        <v>13.187469999999999</v>
      </c>
      <c r="D7" s="6">
        <v>72.529309999999995</v>
      </c>
      <c r="E7" s="6">
        <v>2149</v>
      </c>
      <c r="F7" s="6">
        <v>2.1</v>
      </c>
      <c r="G7" s="6">
        <v>0.2</v>
      </c>
      <c r="H7" s="6">
        <v>516</v>
      </c>
      <c r="I7" s="6">
        <v>6.9</v>
      </c>
      <c r="J7" s="6">
        <v>248.1</v>
      </c>
      <c r="K7" s="6">
        <v>3.3</v>
      </c>
      <c r="L7" s="6">
        <v>0</v>
      </c>
      <c r="M7" s="6">
        <v>573.1</v>
      </c>
      <c r="N7" s="6">
        <v>0.5</v>
      </c>
      <c r="O7" s="6">
        <v>5.4</v>
      </c>
      <c r="P7" s="6">
        <v>0.4</v>
      </c>
      <c r="Q7" s="6">
        <v>13.3</v>
      </c>
      <c r="R7" s="6">
        <v>0.8</v>
      </c>
      <c r="S7" s="6">
        <v>65.5</v>
      </c>
      <c r="T7" s="6">
        <v>1.7</v>
      </c>
      <c r="U7" s="6">
        <v>0.1</v>
      </c>
      <c r="V7" s="6">
        <v>5</v>
      </c>
      <c r="W7" s="8">
        <v>9400000000000000</v>
      </c>
      <c r="X7" s="6">
        <v>70</v>
      </c>
      <c r="Y7" s="6">
        <v>110</v>
      </c>
      <c r="Z7" s="6">
        <f t="shared" ref="Z7:Z24" si="0">(X7+Y7)/2</f>
        <v>90</v>
      </c>
      <c r="AA7" s="2"/>
      <c r="AB7" s="2"/>
      <c r="AC7" s="3"/>
      <c r="AD7" s="2"/>
    </row>
    <row r="8" spans="1:30">
      <c r="A8" s="4" t="s">
        <v>67</v>
      </c>
      <c r="B8" s="2" t="s">
        <v>6</v>
      </c>
      <c r="C8" s="6">
        <v>13.187469999999999</v>
      </c>
      <c r="D8" s="6">
        <v>72.529309999999995</v>
      </c>
      <c r="E8" s="6">
        <v>2149</v>
      </c>
      <c r="F8" s="6">
        <v>2.6</v>
      </c>
      <c r="G8" s="6">
        <v>0.2</v>
      </c>
      <c r="H8" s="6">
        <v>675.2</v>
      </c>
      <c r="I8" s="6">
        <v>8.5</v>
      </c>
      <c r="J8" s="6">
        <v>272.7</v>
      </c>
      <c r="K8" s="6">
        <v>3.4</v>
      </c>
      <c r="L8" s="6">
        <v>0</v>
      </c>
      <c r="M8" s="6">
        <v>738</v>
      </c>
      <c r="N8" s="6">
        <v>0.4</v>
      </c>
      <c r="O8" s="6">
        <v>8.4</v>
      </c>
      <c r="P8" s="6">
        <v>0.7</v>
      </c>
      <c r="Q8" s="6">
        <v>12.6</v>
      </c>
      <c r="R8" s="6">
        <v>0.8</v>
      </c>
      <c r="S8" s="6">
        <v>64.3</v>
      </c>
      <c r="T8" s="6">
        <v>2.1</v>
      </c>
      <c r="U8" s="6">
        <v>0.2</v>
      </c>
      <c r="V8" s="6">
        <v>5</v>
      </c>
      <c r="W8" s="8">
        <v>1.2E+16</v>
      </c>
      <c r="X8" s="6">
        <v>100</v>
      </c>
      <c r="Y8" s="6">
        <v>140</v>
      </c>
      <c r="Z8" s="6">
        <f t="shared" si="0"/>
        <v>120</v>
      </c>
      <c r="AA8" s="2"/>
      <c r="AB8" s="2"/>
      <c r="AC8" s="3"/>
      <c r="AD8" s="2"/>
    </row>
    <row r="9" spans="1:30">
      <c r="A9" s="4" t="s">
        <v>67</v>
      </c>
      <c r="B9" s="2" t="s">
        <v>7</v>
      </c>
      <c r="C9" s="6">
        <v>13.187469999999999</v>
      </c>
      <c r="D9" s="6">
        <v>72.529309999999995</v>
      </c>
      <c r="E9" s="6">
        <v>2149</v>
      </c>
      <c r="F9" s="6">
        <v>2.4</v>
      </c>
      <c r="G9" s="6">
        <v>0.2</v>
      </c>
      <c r="H9" s="6">
        <v>440.2</v>
      </c>
      <c r="I9" s="6">
        <v>6.1</v>
      </c>
      <c r="J9" s="6">
        <v>152.5</v>
      </c>
      <c r="K9" s="6">
        <v>2.1</v>
      </c>
      <c r="L9" s="6">
        <v>0.1</v>
      </c>
      <c r="M9" s="6">
        <v>475.4</v>
      </c>
      <c r="N9" s="6">
        <v>0.3</v>
      </c>
      <c r="O9" s="6">
        <v>5.0999999999999996</v>
      </c>
      <c r="P9" s="6">
        <v>0.4</v>
      </c>
      <c r="Q9" s="6">
        <v>13.8</v>
      </c>
      <c r="R9" s="6">
        <v>0.8</v>
      </c>
      <c r="S9" s="6">
        <v>66.7</v>
      </c>
      <c r="T9" s="6">
        <v>2</v>
      </c>
      <c r="U9" s="6">
        <v>0.1</v>
      </c>
      <c r="V9" s="6">
        <v>5</v>
      </c>
      <c r="W9" s="8">
        <v>7800000000000000</v>
      </c>
      <c r="X9" s="6">
        <v>70</v>
      </c>
      <c r="Y9" s="6">
        <v>110</v>
      </c>
      <c r="Z9" s="6">
        <f t="shared" si="0"/>
        <v>90</v>
      </c>
      <c r="AA9" s="2"/>
      <c r="AB9" s="2"/>
      <c r="AC9" s="3"/>
      <c r="AD9" s="2"/>
    </row>
    <row r="10" spans="1:30">
      <c r="A10" s="4" t="s">
        <v>67</v>
      </c>
      <c r="B10" s="2" t="s">
        <v>8</v>
      </c>
      <c r="C10" s="6">
        <v>13.188330000000001</v>
      </c>
      <c r="D10" s="6">
        <v>72.534279999999995</v>
      </c>
      <c r="E10" s="6">
        <v>2441</v>
      </c>
      <c r="F10" s="6">
        <v>3.2</v>
      </c>
      <c r="G10" s="6">
        <v>0.2</v>
      </c>
      <c r="H10" s="6">
        <v>541.9</v>
      </c>
      <c r="I10" s="6">
        <v>4.3</v>
      </c>
      <c r="J10" s="6">
        <v>298.8</v>
      </c>
      <c r="K10" s="6">
        <v>2.4</v>
      </c>
      <c r="L10" s="6">
        <v>0.1</v>
      </c>
      <c r="M10" s="6">
        <v>610.70000000000005</v>
      </c>
      <c r="N10" s="6">
        <v>0.6</v>
      </c>
      <c r="O10" s="6">
        <v>8.3000000000000007</v>
      </c>
      <c r="P10" s="6">
        <v>0.7</v>
      </c>
      <c r="Q10" s="6">
        <v>7.9</v>
      </c>
      <c r="R10" s="6">
        <v>0.8</v>
      </c>
      <c r="S10" s="6">
        <v>55.5</v>
      </c>
      <c r="T10" s="6">
        <v>2.5</v>
      </c>
      <c r="U10" s="6">
        <v>0.2</v>
      </c>
      <c r="V10" s="6">
        <v>5</v>
      </c>
      <c r="W10" s="8">
        <v>1E+16</v>
      </c>
      <c r="X10" s="6">
        <v>70</v>
      </c>
      <c r="Y10" s="6">
        <v>110</v>
      </c>
      <c r="Z10" s="6">
        <f t="shared" si="0"/>
        <v>90</v>
      </c>
      <c r="AA10" s="2"/>
      <c r="AB10" s="2"/>
      <c r="AC10" s="3"/>
      <c r="AD10" s="2"/>
    </row>
    <row r="11" spans="1:30">
      <c r="A11" s="4" t="s">
        <v>67</v>
      </c>
      <c r="B11" s="2" t="s">
        <v>9</v>
      </c>
      <c r="C11" s="6">
        <v>13.188330000000001</v>
      </c>
      <c r="D11" s="6">
        <v>72.534279999999995</v>
      </c>
      <c r="E11" s="6">
        <v>2441</v>
      </c>
      <c r="F11" s="6">
        <v>2.1</v>
      </c>
      <c r="G11" s="6">
        <v>0.2</v>
      </c>
      <c r="H11" s="6">
        <v>597</v>
      </c>
      <c r="I11" s="6">
        <v>4.7</v>
      </c>
      <c r="J11" s="6">
        <v>149.19999999999999</v>
      </c>
      <c r="K11" s="6">
        <v>1.2</v>
      </c>
      <c r="L11" s="6">
        <v>0</v>
      </c>
      <c r="M11" s="6">
        <v>631.29999999999995</v>
      </c>
      <c r="N11" s="6">
        <v>0.2</v>
      </c>
      <c r="O11" s="6">
        <v>5.5</v>
      </c>
      <c r="P11" s="6">
        <v>0.4</v>
      </c>
      <c r="Q11" s="6">
        <v>7.9</v>
      </c>
      <c r="R11" s="6">
        <v>0.8</v>
      </c>
      <c r="S11" s="6">
        <v>55.7</v>
      </c>
      <c r="T11" s="6">
        <v>1.6</v>
      </c>
      <c r="U11" s="6">
        <v>0.1</v>
      </c>
      <c r="V11" s="6">
        <v>5</v>
      </c>
      <c r="W11" s="8">
        <v>1E+16</v>
      </c>
      <c r="X11" s="6">
        <v>100</v>
      </c>
      <c r="Y11" s="6">
        <v>140</v>
      </c>
      <c r="Z11" s="6">
        <f t="shared" si="0"/>
        <v>120</v>
      </c>
      <c r="AA11" s="2"/>
      <c r="AB11" s="2"/>
      <c r="AC11" s="3"/>
      <c r="AD11" s="2"/>
    </row>
    <row r="12" spans="1:30">
      <c r="A12" s="4" t="s">
        <v>67</v>
      </c>
      <c r="B12" s="2" t="s">
        <v>10</v>
      </c>
      <c r="C12" s="6">
        <v>13.188330000000001</v>
      </c>
      <c r="D12" s="6">
        <v>72.534279999999995</v>
      </c>
      <c r="E12" s="6">
        <v>2441</v>
      </c>
      <c r="F12" s="6">
        <v>2.1</v>
      </c>
      <c r="G12" s="6">
        <v>0.2</v>
      </c>
      <c r="H12" s="6">
        <v>459.1</v>
      </c>
      <c r="I12" s="6">
        <v>5.2</v>
      </c>
      <c r="J12" s="6">
        <v>147.9</v>
      </c>
      <c r="K12" s="6">
        <v>1.7</v>
      </c>
      <c r="L12" s="6">
        <v>0</v>
      </c>
      <c r="M12" s="6">
        <v>493.2</v>
      </c>
      <c r="N12" s="6">
        <v>0.3</v>
      </c>
      <c r="O12" s="6">
        <v>4.5999999999999996</v>
      </c>
      <c r="P12" s="6">
        <v>0.4</v>
      </c>
      <c r="Q12" s="6">
        <v>11.4</v>
      </c>
      <c r="R12" s="6">
        <v>0.8</v>
      </c>
      <c r="S12" s="6">
        <v>64.3</v>
      </c>
      <c r="T12" s="6">
        <v>1.7</v>
      </c>
      <c r="U12" s="6">
        <v>0.1</v>
      </c>
      <c r="V12" s="6">
        <v>5</v>
      </c>
      <c r="W12" s="8">
        <v>8100000000000000</v>
      </c>
      <c r="X12" s="6">
        <v>70</v>
      </c>
      <c r="Y12" s="6">
        <v>110</v>
      </c>
      <c r="Z12" s="6">
        <f t="shared" si="0"/>
        <v>90</v>
      </c>
      <c r="AA12" s="2"/>
      <c r="AB12" s="2"/>
      <c r="AC12" s="3"/>
      <c r="AD12" s="2"/>
    </row>
    <row r="13" spans="1:30">
      <c r="A13" s="4" t="s">
        <v>67</v>
      </c>
      <c r="B13" s="2" t="s">
        <v>11</v>
      </c>
      <c r="C13" s="6">
        <v>13.190340000000001</v>
      </c>
      <c r="D13" s="6">
        <v>72.536900000000003</v>
      </c>
      <c r="E13" s="6">
        <v>2719</v>
      </c>
      <c r="F13" s="6">
        <v>4</v>
      </c>
      <c r="G13" s="6">
        <v>0.3</v>
      </c>
      <c r="H13" s="6">
        <v>503.9</v>
      </c>
      <c r="I13" s="6">
        <v>3.3</v>
      </c>
      <c r="J13" s="6">
        <v>312.39999999999998</v>
      </c>
      <c r="K13" s="6">
        <v>2</v>
      </c>
      <c r="L13" s="6">
        <v>0</v>
      </c>
      <c r="M13" s="6">
        <v>575.9</v>
      </c>
      <c r="N13" s="6">
        <v>0.6</v>
      </c>
      <c r="O13" s="6">
        <v>9.6</v>
      </c>
      <c r="P13" s="6">
        <v>0.8</v>
      </c>
      <c r="Q13" s="6">
        <v>6.5</v>
      </c>
      <c r="R13" s="6">
        <v>0.8</v>
      </c>
      <c r="S13" s="6">
        <v>51.3</v>
      </c>
      <c r="T13" s="6">
        <v>3.1</v>
      </c>
      <c r="U13" s="6">
        <v>0.2</v>
      </c>
      <c r="V13" s="6">
        <v>5</v>
      </c>
      <c r="W13" s="8">
        <v>9400000000000000</v>
      </c>
      <c r="X13" s="6">
        <v>70</v>
      </c>
      <c r="Y13" s="6">
        <v>110</v>
      </c>
      <c r="Z13" s="6">
        <f t="shared" si="0"/>
        <v>90</v>
      </c>
      <c r="AA13" s="2"/>
      <c r="AB13" s="2"/>
      <c r="AC13" s="3"/>
      <c r="AD13" s="2"/>
    </row>
    <row r="14" spans="1:30">
      <c r="A14" s="4" t="s">
        <v>67</v>
      </c>
      <c r="B14" s="2" t="s">
        <v>12</v>
      </c>
      <c r="C14" s="6">
        <v>13.190340000000001</v>
      </c>
      <c r="D14" s="6">
        <v>72.536900000000003</v>
      </c>
      <c r="E14" s="6">
        <v>2719</v>
      </c>
      <c r="F14" s="6">
        <v>2.2000000000000002</v>
      </c>
      <c r="G14" s="6">
        <v>0.2</v>
      </c>
      <c r="H14" s="6">
        <v>364.3</v>
      </c>
      <c r="I14" s="6">
        <v>2.9</v>
      </c>
      <c r="J14" s="6">
        <v>237.4</v>
      </c>
      <c r="K14" s="6">
        <v>1.9</v>
      </c>
      <c r="L14" s="6">
        <v>0.1</v>
      </c>
      <c r="M14" s="6">
        <v>419</v>
      </c>
      <c r="N14" s="6">
        <v>0.7</v>
      </c>
      <c r="O14" s="6">
        <v>4</v>
      </c>
      <c r="P14" s="6">
        <v>0.3</v>
      </c>
      <c r="Q14" s="6">
        <v>8.1</v>
      </c>
      <c r="R14" s="6">
        <v>0.8</v>
      </c>
      <c r="S14" s="6">
        <v>57.1</v>
      </c>
      <c r="T14" s="6">
        <v>1.8</v>
      </c>
      <c r="U14" s="6">
        <v>0.1</v>
      </c>
      <c r="V14" s="6">
        <v>5</v>
      </c>
      <c r="W14" s="8">
        <v>6900000000000000</v>
      </c>
      <c r="X14" s="6">
        <v>70</v>
      </c>
      <c r="Y14" s="6">
        <v>110</v>
      </c>
      <c r="Z14" s="6">
        <f t="shared" si="0"/>
        <v>90</v>
      </c>
      <c r="AA14" s="2"/>
      <c r="AB14" s="2"/>
      <c r="AC14" s="3"/>
      <c r="AD14" s="2"/>
    </row>
    <row r="15" spans="1:30">
      <c r="A15" s="4" t="s">
        <v>67</v>
      </c>
      <c r="B15" s="2" t="s">
        <v>13</v>
      </c>
      <c r="C15" s="6">
        <v>13.190340000000001</v>
      </c>
      <c r="D15" s="6">
        <v>72.536900000000003</v>
      </c>
      <c r="E15" s="6">
        <v>2719</v>
      </c>
      <c r="F15" s="6">
        <v>1.9</v>
      </c>
      <c r="G15" s="6">
        <v>0.1</v>
      </c>
      <c r="H15" s="6">
        <v>403</v>
      </c>
      <c r="I15" s="6">
        <v>3.1</v>
      </c>
      <c r="J15" s="6">
        <v>141</v>
      </c>
      <c r="K15" s="6">
        <v>1.1000000000000001</v>
      </c>
      <c r="L15" s="6">
        <v>0</v>
      </c>
      <c r="M15" s="6">
        <v>435.5</v>
      </c>
      <c r="N15" s="6">
        <v>0.3</v>
      </c>
      <c r="O15" s="6">
        <v>3.6</v>
      </c>
      <c r="P15" s="6">
        <v>0.3</v>
      </c>
      <c r="Q15" s="6">
        <v>7.6</v>
      </c>
      <c r="R15" s="6">
        <v>0.8</v>
      </c>
      <c r="S15" s="6">
        <v>54</v>
      </c>
      <c r="T15" s="6">
        <v>1.5</v>
      </c>
      <c r="U15" s="6">
        <v>0.1</v>
      </c>
      <c r="V15" s="6">
        <v>5</v>
      </c>
      <c r="W15" s="8">
        <v>7100000000000000</v>
      </c>
      <c r="X15" s="6">
        <v>70</v>
      </c>
      <c r="Y15" s="6">
        <v>110</v>
      </c>
      <c r="Z15" s="6">
        <f t="shared" si="0"/>
        <v>90</v>
      </c>
      <c r="AA15" s="2"/>
      <c r="AB15" s="2"/>
      <c r="AC15" s="3"/>
      <c r="AD15" s="2"/>
    </row>
    <row r="16" spans="1:30">
      <c r="A16" s="4" t="s">
        <v>67</v>
      </c>
      <c r="B16" s="2" t="s">
        <v>14</v>
      </c>
      <c r="C16" s="6">
        <v>13.192880000000001</v>
      </c>
      <c r="D16" s="6">
        <v>72.541569999999993</v>
      </c>
      <c r="E16" s="6">
        <v>2996</v>
      </c>
      <c r="F16" s="6">
        <v>2.5</v>
      </c>
      <c r="G16" s="6">
        <v>0.2</v>
      </c>
      <c r="H16" s="6">
        <v>464.8</v>
      </c>
      <c r="I16" s="6">
        <v>4</v>
      </c>
      <c r="J16" s="6">
        <v>182.4</v>
      </c>
      <c r="K16" s="6">
        <v>1.6</v>
      </c>
      <c r="L16" s="6">
        <v>0</v>
      </c>
      <c r="M16" s="6">
        <v>506.8</v>
      </c>
      <c r="N16" s="6">
        <v>0.4</v>
      </c>
      <c r="O16" s="6">
        <v>5.4</v>
      </c>
      <c r="P16" s="6">
        <v>0.4</v>
      </c>
      <c r="Q16" s="6">
        <v>8.6</v>
      </c>
      <c r="R16" s="6">
        <v>0.8</v>
      </c>
      <c r="S16" s="6">
        <v>57.9</v>
      </c>
      <c r="T16" s="6">
        <v>2</v>
      </c>
      <c r="U16" s="6">
        <v>0.1</v>
      </c>
      <c r="V16" s="6">
        <v>6</v>
      </c>
      <c r="W16" s="8">
        <v>9900000000000000</v>
      </c>
      <c r="X16" s="6">
        <v>70</v>
      </c>
      <c r="Y16" s="6">
        <v>110</v>
      </c>
      <c r="Z16" s="6">
        <f t="shared" si="0"/>
        <v>90</v>
      </c>
      <c r="AA16" s="2"/>
      <c r="AB16" s="2"/>
      <c r="AC16" s="3"/>
      <c r="AD16" s="2"/>
    </row>
    <row r="17" spans="1:30">
      <c r="A17" s="4" t="s">
        <v>67</v>
      </c>
      <c r="B17" s="2" t="s">
        <v>15</v>
      </c>
      <c r="C17" s="6">
        <v>13.192880000000001</v>
      </c>
      <c r="D17" s="6">
        <v>72.541569999999993</v>
      </c>
      <c r="E17" s="6">
        <v>2996</v>
      </c>
      <c r="F17" s="6">
        <v>3.3</v>
      </c>
      <c r="G17" s="6">
        <v>0.2</v>
      </c>
      <c r="H17" s="6">
        <v>313.7</v>
      </c>
      <c r="I17" s="6">
        <v>2.4</v>
      </c>
      <c r="J17" s="6">
        <v>115.9</v>
      </c>
      <c r="K17" s="6">
        <v>0.9</v>
      </c>
      <c r="L17" s="6">
        <v>0</v>
      </c>
      <c r="M17" s="6">
        <v>340.4</v>
      </c>
      <c r="N17" s="6">
        <v>0.4</v>
      </c>
      <c r="O17" s="6">
        <v>4.7</v>
      </c>
      <c r="P17" s="6">
        <v>0.4</v>
      </c>
      <c r="Q17" s="6">
        <v>7.8</v>
      </c>
      <c r="R17" s="6">
        <v>0.8</v>
      </c>
      <c r="S17" s="6">
        <v>55.8</v>
      </c>
      <c r="T17" s="6">
        <v>2.6</v>
      </c>
      <c r="U17" s="6">
        <v>0.2</v>
      </c>
      <c r="V17" s="6">
        <v>6</v>
      </c>
      <c r="W17" s="8">
        <v>6700000000000000</v>
      </c>
      <c r="X17" s="6">
        <v>70</v>
      </c>
      <c r="Y17" s="6">
        <v>110</v>
      </c>
      <c r="Z17" s="6">
        <f t="shared" si="0"/>
        <v>90</v>
      </c>
      <c r="AA17" s="2"/>
      <c r="AB17" s="2"/>
      <c r="AC17" s="3"/>
      <c r="AD17" s="2"/>
    </row>
    <row r="18" spans="1:30">
      <c r="A18" s="4" t="s">
        <v>67</v>
      </c>
      <c r="B18" s="2" t="s">
        <v>16</v>
      </c>
      <c r="C18" s="6">
        <v>13.192880000000001</v>
      </c>
      <c r="D18" s="6">
        <v>72.541569999999993</v>
      </c>
      <c r="E18" s="6">
        <v>2996</v>
      </c>
      <c r="F18" s="6">
        <v>2.4</v>
      </c>
      <c r="G18" s="6">
        <v>0.2</v>
      </c>
      <c r="H18" s="6">
        <v>613.70000000000005</v>
      </c>
      <c r="I18" s="6">
        <v>7</v>
      </c>
      <c r="J18" s="6">
        <v>220</v>
      </c>
      <c r="K18" s="6">
        <v>2.5</v>
      </c>
      <c r="L18" s="6">
        <v>0.1</v>
      </c>
      <c r="M18" s="6">
        <v>664.3</v>
      </c>
      <c r="N18" s="6">
        <v>0.4</v>
      </c>
      <c r="O18" s="6">
        <v>7.1</v>
      </c>
      <c r="P18" s="6">
        <v>0.6</v>
      </c>
      <c r="Q18" s="6">
        <v>11.4</v>
      </c>
      <c r="R18" s="6">
        <v>0.8</v>
      </c>
      <c r="S18" s="6">
        <v>63.5</v>
      </c>
      <c r="T18" s="6">
        <v>2</v>
      </c>
      <c r="U18" s="6">
        <v>0.1</v>
      </c>
      <c r="V18" s="6">
        <v>6</v>
      </c>
      <c r="W18" s="8">
        <v>1300000000000000</v>
      </c>
      <c r="X18" s="6">
        <v>100</v>
      </c>
      <c r="Y18" s="6">
        <v>140</v>
      </c>
      <c r="Z18" s="6">
        <f t="shared" si="0"/>
        <v>120</v>
      </c>
      <c r="AA18" s="2"/>
      <c r="AB18" s="2"/>
      <c r="AC18" s="3"/>
      <c r="AD18" s="2"/>
    </row>
    <row r="19" spans="1:30">
      <c r="A19" s="4" t="s">
        <v>67</v>
      </c>
      <c r="B19" s="2" t="s">
        <v>17</v>
      </c>
      <c r="C19" s="6">
        <v>13.2029</v>
      </c>
      <c r="D19" s="6">
        <v>72.534970000000001</v>
      </c>
      <c r="E19" s="6">
        <v>3322</v>
      </c>
      <c r="F19" s="6">
        <v>2.2999999999999998</v>
      </c>
      <c r="G19" s="6">
        <v>0.2</v>
      </c>
      <c r="H19" s="6">
        <v>1017</v>
      </c>
      <c r="I19" s="6">
        <v>8.6999999999999993</v>
      </c>
      <c r="J19" s="6">
        <v>270.89999999999998</v>
      </c>
      <c r="K19" s="6">
        <v>2.2999999999999998</v>
      </c>
      <c r="L19" s="6">
        <v>0</v>
      </c>
      <c r="M19" s="6">
        <v>1079.4000000000001</v>
      </c>
      <c r="N19" s="6">
        <v>0.3</v>
      </c>
      <c r="O19" s="6">
        <v>10.5</v>
      </c>
      <c r="P19" s="6">
        <v>0.8</v>
      </c>
      <c r="Q19" s="6">
        <v>8.6</v>
      </c>
      <c r="R19" s="6">
        <v>0.8</v>
      </c>
      <c r="S19" s="6">
        <v>58.5</v>
      </c>
      <c r="T19" s="6">
        <v>1.8</v>
      </c>
      <c r="U19" s="6">
        <v>0.1</v>
      </c>
      <c r="V19" s="6">
        <v>7</v>
      </c>
      <c r="W19" s="8">
        <v>2.5E+16</v>
      </c>
      <c r="X19" s="6">
        <v>100</v>
      </c>
      <c r="Y19" s="6">
        <v>140</v>
      </c>
      <c r="Z19" s="6">
        <f t="shared" si="0"/>
        <v>120</v>
      </c>
      <c r="AA19" s="2"/>
      <c r="AB19" s="2"/>
      <c r="AC19" s="3"/>
      <c r="AD19" s="2"/>
    </row>
    <row r="20" spans="1:30">
      <c r="A20" s="4" t="s">
        <v>67</v>
      </c>
      <c r="B20" s="2" t="s">
        <v>18</v>
      </c>
      <c r="C20" s="6">
        <v>13.2029</v>
      </c>
      <c r="D20" s="6">
        <v>72.534970000000001</v>
      </c>
      <c r="E20" s="6">
        <v>3322</v>
      </c>
      <c r="F20" s="6">
        <v>4.0999999999999996</v>
      </c>
      <c r="G20" s="6">
        <v>0.3</v>
      </c>
      <c r="H20" s="6">
        <v>353.6</v>
      </c>
      <c r="I20" s="6">
        <v>1.5</v>
      </c>
      <c r="J20" s="6">
        <v>182.2</v>
      </c>
      <c r="K20" s="6">
        <v>0.8</v>
      </c>
      <c r="L20" s="6">
        <v>0</v>
      </c>
      <c r="M20" s="6">
        <v>395.5</v>
      </c>
      <c r="N20" s="6">
        <v>0.5</v>
      </c>
      <c r="O20" s="6">
        <v>6.6</v>
      </c>
      <c r="P20" s="6">
        <v>0.5</v>
      </c>
      <c r="Q20" s="6">
        <v>4.4000000000000004</v>
      </c>
      <c r="R20" s="6">
        <v>0.7</v>
      </c>
      <c r="S20" s="6">
        <v>46.5</v>
      </c>
      <c r="T20" s="6">
        <v>3.1</v>
      </c>
      <c r="U20" s="6">
        <v>0.2</v>
      </c>
      <c r="V20" s="6">
        <v>7</v>
      </c>
      <c r="W20" s="8">
        <v>9100000000000000</v>
      </c>
      <c r="X20" s="6">
        <v>70</v>
      </c>
      <c r="Y20" s="6">
        <v>110</v>
      </c>
      <c r="Z20" s="6">
        <f t="shared" si="0"/>
        <v>90</v>
      </c>
      <c r="AA20" s="2"/>
      <c r="AB20" s="2"/>
      <c r="AC20" s="3"/>
      <c r="AD20" s="2"/>
    </row>
    <row r="21" spans="1:30">
      <c r="A21" s="4" t="s">
        <v>67</v>
      </c>
      <c r="B21" s="2" t="s">
        <v>19</v>
      </c>
      <c r="C21" s="6">
        <v>13.2029</v>
      </c>
      <c r="D21" s="6">
        <v>72.534970000000001</v>
      </c>
      <c r="E21" s="6">
        <v>3322</v>
      </c>
      <c r="F21" s="6">
        <v>3.3</v>
      </c>
      <c r="G21" s="6">
        <v>0.2</v>
      </c>
      <c r="H21" s="6">
        <v>1130.5999999999999</v>
      </c>
      <c r="I21" s="6">
        <v>8.1999999999999993</v>
      </c>
      <c r="J21" s="6">
        <v>486</v>
      </c>
      <c r="K21" s="6">
        <v>3.5</v>
      </c>
      <c r="L21" s="6">
        <v>0.1</v>
      </c>
      <c r="M21" s="6">
        <v>1242.5999999999999</v>
      </c>
      <c r="N21" s="6">
        <v>0.4</v>
      </c>
      <c r="O21" s="6">
        <v>17.3</v>
      </c>
      <c r="P21" s="6">
        <v>1.4</v>
      </c>
      <c r="Q21" s="6">
        <v>7.2</v>
      </c>
      <c r="R21" s="6">
        <v>0.8</v>
      </c>
      <c r="S21" s="6">
        <v>55.4</v>
      </c>
      <c r="T21" s="6">
        <v>2.6</v>
      </c>
      <c r="U21" s="6">
        <v>0.2</v>
      </c>
      <c r="V21" s="6">
        <v>7</v>
      </c>
      <c r="W21" s="8">
        <v>2.8E+16</v>
      </c>
      <c r="X21" s="6">
        <v>100</v>
      </c>
      <c r="Y21" s="6">
        <v>140</v>
      </c>
      <c r="Z21" s="6">
        <f t="shared" si="0"/>
        <v>120</v>
      </c>
      <c r="AA21" s="2"/>
      <c r="AB21" s="2"/>
      <c r="AC21" s="3"/>
      <c r="AD21" s="2"/>
    </row>
    <row r="22" spans="1:30">
      <c r="A22" s="4" t="s">
        <v>67</v>
      </c>
      <c r="B22" s="2" t="s">
        <v>20</v>
      </c>
      <c r="C22" s="6">
        <v>13.206519999999999</v>
      </c>
      <c r="D22" s="6">
        <v>72.532039999999995</v>
      </c>
      <c r="E22" s="6">
        <v>3581</v>
      </c>
      <c r="F22" s="6">
        <v>3.5</v>
      </c>
      <c r="G22" s="6">
        <v>0.3</v>
      </c>
      <c r="H22" s="6">
        <v>508.5</v>
      </c>
      <c r="I22" s="6">
        <v>5.8</v>
      </c>
      <c r="J22" s="6">
        <v>257.89999999999998</v>
      </c>
      <c r="K22" s="6">
        <v>3</v>
      </c>
      <c r="L22" s="6">
        <v>0</v>
      </c>
      <c r="M22" s="6">
        <v>567.9</v>
      </c>
      <c r="N22" s="6">
        <v>0.5</v>
      </c>
      <c r="O22" s="6">
        <v>8.8000000000000007</v>
      </c>
      <c r="P22" s="6">
        <v>0.7</v>
      </c>
      <c r="Q22" s="6">
        <v>11.4</v>
      </c>
      <c r="R22" s="6">
        <v>0.8</v>
      </c>
      <c r="S22" s="6">
        <v>62.9</v>
      </c>
      <c r="T22" s="6">
        <v>2.9</v>
      </c>
      <c r="U22" s="6">
        <v>0.2</v>
      </c>
      <c r="V22" s="6">
        <v>8</v>
      </c>
      <c r="W22" s="8">
        <v>1.5E+16</v>
      </c>
      <c r="X22" s="6">
        <v>100</v>
      </c>
      <c r="Y22" s="6">
        <v>140</v>
      </c>
      <c r="Z22" s="6">
        <f t="shared" si="0"/>
        <v>120</v>
      </c>
      <c r="AA22" s="2"/>
      <c r="AB22" s="2"/>
      <c r="AC22" s="3"/>
      <c r="AD22" s="2"/>
    </row>
    <row r="23" spans="1:30">
      <c r="A23" s="4" t="s">
        <v>67</v>
      </c>
      <c r="B23" s="2" t="s">
        <v>21</v>
      </c>
      <c r="C23" s="6">
        <v>13.206519999999999</v>
      </c>
      <c r="D23" s="6">
        <v>72.532039999999995</v>
      </c>
      <c r="E23" s="6">
        <v>3581</v>
      </c>
      <c r="F23" s="6">
        <v>3.3</v>
      </c>
      <c r="G23" s="6">
        <v>0.2</v>
      </c>
      <c r="H23" s="6">
        <v>538.29999999999995</v>
      </c>
      <c r="I23" s="6">
        <v>7.3</v>
      </c>
      <c r="J23" s="6">
        <v>247.1</v>
      </c>
      <c r="K23" s="6">
        <v>3.4</v>
      </c>
      <c r="L23" s="6">
        <v>0.1</v>
      </c>
      <c r="M23" s="6">
        <v>595.20000000000005</v>
      </c>
      <c r="N23" s="6">
        <v>0.5</v>
      </c>
      <c r="O23" s="6">
        <v>8.6</v>
      </c>
      <c r="P23" s="6">
        <v>0.7</v>
      </c>
      <c r="Q23" s="6">
        <v>13.6</v>
      </c>
      <c r="R23" s="6">
        <v>0.8</v>
      </c>
      <c r="S23" s="6">
        <v>66</v>
      </c>
      <c r="T23" s="6">
        <v>2.7</v>
      </c>
      <c r="U23" s="6">
        <v>0.2</v>
      </c>
      <c r="V23" s="6">
        <v>8</v>
      </c>
      <c r="W23" s="8">
        <v>1.6E+16</v>
      </c>
      <c r="X23" s="6">
        <v>100</v>
      </c>
      <c r="Y23" s="6">
        <v>140</v>
      </c>
      <c r="Z23" s="6">
        <f t="shared" si="0"/>
        <v>120</v>
      </c>
      <c r="AA23" s="2"/>
      <c r="AB23" s="2"/>
      <c r="AC23" s="3"/>
      <c r="AD23" s="2"/>
    </row>
    <row r="24" spans="1:30">
      <c r="A24" s="4" t="s">
        <v>67</v>
      </c>
      <c r="B24" s="2" t="s">
        <v>22</v>
      </c>
      <c r="C24" s="6">
        <v>13.206519999999999</v>
      </c>
      <c r="D24" s="6">
        <v>72.532039999999995</v>
      </c>
      <c r="E24" s="6">
        <v>3581</v>
      </c>
      <c r="F24" s="6">
        <v>2.4</v>
      </c>
      <c r="G24" s="6">
        <v>0.2</v>
      </c>
      <c r="H24" s="6">
        <v>1176.3</v>
      </c>
      <c r="I24" s="6">
        <v>9.3000000000000007</v>
      </c>
      <c r="J24" s="6">
        <v>489.7</v>
      </c>
      <c r="K24" s="6">
        <v>3.9</v>
      </c>
      <c r="L24" s="6">
        <v>0</v>
      </c>
      <c r="M24" s="6">
        <v>1289.0999999999999</v>
      </c>
      <c r="N24" s="6">
        <v>0.4</v>
      </c>
      <c r="O24" s="6">
        <v>13.3</v>
      </c>
      <c r="P24" s="6">
        <v>1.1000000000000001</v>
      </c>
      <c r="Q24" s="6">
        <v>7.9</v>
      </c>
      <c r="R24" s="6">
        <v>0.8</v>
      </c>
      <c r="S24" s="6">
        <v>55.9</v>
      </c>
      <c r="T24" s="6">
        <v>1.9</v>
      </c>
      <c r="U24" s="6">
        <v>0.1</v>
      </c>
      <c r="V24" s="6">
        <v>8</v>
      </c>
      <c r="W24" s="8">
        <v>3.4E+16</v>
      </c>
      <c r="X24" s="6">
        <v>100</v>
      </c>
      <c r="Y24" s="6">
        <v>140</v>
      </c>
      <c r="Z24" s="6">
        <f t="shared" si="0"/>
        <v>120</v>
      </c>
      <c r="AA24" s="2"/>
      <c r="AB24" s="2"/>
      <c r="AC24" s="3"/>
      <c r="AD24" s="2"/>
    </row>
    <row r="25" spans="1:30">
      <c r="A25" s="5" t="s">
        <v>71</v>
      </c>
      <c r="B25" s="5" t="s">
        <v>46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9">
        <v>7310000000000000</v>
      </c>
      <c r="X25" s="7"/>
      <c r="Y25" s="7"/>
      <c r="Z25" s="10">
        <v>143.35</v>
      </c>
    </row>
    <row r="26" spans="1:30">
      <c r="A26" s="5" t="s">
        <v>71</v>
      </c>
      <c r="B26" s="5" t="s">
        <v>47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9">
        <v>9000000000000000</v>
      </c>
      <c r="X26" s="7"/>
      <c r="Y26" s="7"/>
      <c r="Z26" s="10">
        <v>216.46</v>
      </c>
    </row>
    <row r="27" spans="1:30">
      <c r="A27" s="5" t="s">
        <v>71</v>
      </c>
      <c r="B27" s="5" t="s">
        <v>48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9">
        <v>1.22E+16</v>
      </c>
      <c r="X27" s="7"/>
      <c r="Y27" s="7"/>
      <c r="Z27" s="10">
        <v>133.08000000000001</v>
      </c>
    </row>
    <row r="28" spans="1:30">
      <c r="A28" s="5" t="s">
        <v>71</v>
      </c>
      <c r="B28" s="5" t="s">
        <v>54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9">
        <v>1.22E+16</v>
      </c>
      <c r="X28" s="7"/>
      <c r="Y28" s="7"/>
      <c r="Z28" s="10">
        <v>126.43</v>
      </c>
    </row>
    <row r="29" spans="1:30">
      <c r="A29" s="5" t="s">
        <v>71</v>
      </c>
      <c r="B29" s="5" t="s">
        <v>55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9">
        <v>1.38E+17</v>
      </c>
      <c r="X29" s="7"/>
      <c r="Y29" s="7"/>
      <c r="Z29" s="10">
        <v>152.41</v>
      </c>
    </row>
    <row r="30" spans="1:30">
      <c r="A30" s="5" t="s">
        <v>71</v>
      </c>
      <c r="B30" s="5" t="s">
        <v>56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9">
        <v>3.12E+16</v>
      </c>
      <c r="X30" s="7"/>
      <c r="Y30" s="7"/>
      <c r="Z30" s="10">
        <v>188.67</v>
      </c>
    </row>
    <row r="31" spans="1:30">
      <c r="A31" s="5" t="s">
        <v>71</v>
      </c>
      <c r="B31" s="5" t="s">
        <v>57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9">
        <v>3.12E+16</v>
      </c>
      <c r="X31" s="7"/>
      <c r="Y31" s="7"/>
      <c r="Z31" s="10">
        <v>158.44999999999999</v>
      </c>
    </row>
    <row r="32" spans="1:30">
      <c r="A32" s="5" t="s">
        <v>71</v>
      </c>
      <c r="B32" s="5" t="s">
        <v>58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9">
        <v>5.97E+16</v>
      </c>
      <c r="X32" s="7"/>
      <c r="Y32" s="7"/>
      <c r="Z32" s="7">
        <v>169</v>
      </c>
    </row>
    <row r="33" spans="1:26">
      <c r="A33" s="5" t="s">
        <v>71</v>
      </c>
      <c r="B33" s="5" t="s">
        <v>59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9">
        <v>6.04E+16</v>
      </c>
      <c r="X33" s="7"/>
      <c r="Y33" s="7"/>
      <c r="Z33" s="7">
        <v>179</v>
      </c>
    </row>
    <row r="34" spans="1:26">
      <c r="A34" s="5" t="s">
        <v>71</v>
      </c>
      <c r="B34" s="5" t="s">
        <v>60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9">
        <v>6.04E+16</v>
      </c>
      <c r="X34" s="7"/>
      <c r="Y34" s="7"/>
      <c r="Z34" s="7">
        <v>195</v>
      </c>
    </row>
    <row r="35" spans="1:26">
      <c r="A35" s="5" t="s">
        <v>71</v>
      </c>
      <c r="B35" s="5" t="s">
        <v>61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9">
        <v>8.94E+16</v>
      </c>
      <c r="X35" s="7"/>
      <c r="Y35" s="7"/>
      <c r="Z35" s="7">
        <v>182</v>
      </c>
    </row>
    <row r="36" spans="1:26">
      <c r="A36" s="5" t="s">
        <v>71</v>
      </c>
      <c r="B36" s="5" t="s">
        <v>49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9">
        <v>4.624E+17</v>
      </c>
      <c r="X36" s="7"/>
      <c r="Y36" s="7"/>
      <c r="Z36" s="7">
        <v>208</v>
      </c>
    </row>
    <row r="37" spans="1:26">
      <c r="A37" s="5" t="s">
        <v>71</v>
      </c>
      <c r="B37" s="5" t="s">
        <v>50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9">
        <v>4.524E+17</v>
      </c>
      <c r="X37" s="7"/>
      <c r="Y37" s="7"/>
      <c r="Z37" s="7">
        <v>186</v>
      </c>
    </row>
    <row r="38" spans="1:26">
      <c r="A38" s="5" t="s">
        <v>71</v>
      </c>
      <c r="B38" s="5" t="s">
        <v>51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9">
        <v>1.19E+18</v>
      </c>
      <c r="X38" s="7"/>
      <c r="Y38" s="7"/>
      <c r="Z38" s="7">
        <v>193</v>
      </c>
    </row>
    <row r="39" spans="1:26">
      <c r="A39" s="5" t="s">
        <v>71</v>
      </c>
      <c r="B39" s="5" t="s">
        <v>52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9">
        <v>1.47E+18</v>
      </c>
      <c r="X39" s="7"/>
      <c r="Y39" s="7"/>
      <c r="Z39" s="7">
        <v>192</v>
      </c>
    </row>
    <row r="40" spans="1:26">
      <c r="A40" s="5" t="s">
        <v>71</v>
      </c>
      <c r="B40" s="5" t="s">
        <v>53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9">
        <v>1.478E+18</v>
      </c>
      <c r="X40" s="7"/>
      <c r="Y40" s="7"/>
      <c r="Z40" s="7">
        <v>198</v>
      </c>
    </row>
    <row r="41" spans="1:26">
      <c r="A41" s="5" t="s">
        <v>71</v>
      </c>
      <c r="B41" s="5" t="s">
        <v>62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9">
        <v>1.4787E+18</v>
      </c>
      <c r="X41" s="7"/>
      <c r="Y41" s="7"/>
      <c r="Z41" s="7">
        <v>183</v>
      </c>
    </row>
    <row r="42" spans="1:26">
      <c r="A42" s="5" t="s">
        <v>71</v>
      </c>
      <c r="B42" s="5" t="s">
        <v>63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9">
        <v>1.748E+18</v>
      </c>
      <c r="X42" s="7"/>
      <c r="Y42" s="7"/>
      <c r="Z42" s="7">
        <v>154</v>
      </c>
    </row>
    <row r="43" spans="1:26">
      <c r="A43" s="5" t="s">
        <v>71</v>
      </c>
      <c r="B43" s="5" t="s">
        <v>64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9">
        <v>3.95E+18</v>
      </c>
      <c r="X43" s="7"/>
      <c r="Y43" s="7"/>
      <c r="Z43" s="7">
        <v>50</v>
      </c>
    </row>
    <row r="44" spans="1:26">
      <c r="A44" s="5" t="s">
        <v>71</v>
      </c>
      <c r="B44" s="5" t="s">
        <v>65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9">
        <v>8.08E+18</v>
      </c>
      <c r="X44" s="7"/>
      <c r="Y44" s="7"/>
      <c r="Z44" s="7">
        <v>-57</v>
      </c>
    </row>
    <row r="45" spans="1:26">
      <c r="A45" s="5" t="s">
        <v>71</v>
      </c>
      <c r="B45" s="5" t="s">
        <v>70</v>
      </c>
    </row>
  </sheetData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 McDowell</dc:creator>
  <cp:lastModifiedBy>Haley Brumberger</cp:lastModifiedBy>
  <dcterms:created xsi:type="dcterms:W3CDTF">2015-06-05T18:17:20Z</dcterms:created>
  <dcterms:modified xsi:type="dcterms:W3CDTF">2026-04-08T17:46:12Z</dcterms:modified>
</cp:coreProperties>
</file>